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Tài liệu\CodeDoc\HSU\C\Algorithms\"/>
    </mc:Choice>
  </mc:AlternateContent>
  <xr:revisionPtr revIDLastSave="0" documentId="13_ncr:1_{14250873-1C51-4C73-B8D8-657E0802FB8C}" xr6:coauthVersionLast="47" xr6:coauthVersionMax="47" xr10:uidLastSave="{00000000-0000-0000-0000-000000000000}"/>
  <bookViews>
    <workbookView xWindow="-120" yWindow="-120" windowWidth="29040" windowHeight="15840" activeTab="4" xr2:uid="{C5DA7F93-CFF9-4AB8-B939-B350F5E51D39}"/>
  </bookViews>
  <sheets>
    <sheet name="MST" sheetId="2" r:id="rId1"/>
    <sheet name="DFS &amp; BFS" sheetId="3" r:id="rId2"/>
    <sheet name="Kruskal" sheetId="1" r:id="rId3"/>
    <sheet name="Dijkstra" sheetId="4" r:id="rId4"/>
    <sheet name="Hungarian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5" l="1"/>
  <c r="H22" i="5" s="1"/>
  <c r="G22" i="5"/>
  <c r="F23" i="5"/>
  <c r="I23" i="5"/>
  <c r="B17" i="5"/>
  <c r="C17" i="5"/>
  <c r="D17" i="5"/>
  <c r="A17" i="5"/>
  <c r="E8" i="5"/>
  <c r="G8" i="5" s="1"/>
  <c r="E9" i="5"/>
  <c r="G9" i="5" s="1"/>
  <c r="E10" i="5"/>
  <c r="J10" i="5" s="1"/>
  <c r="E7" i="5"/>
  <c r="H7" i="5" s="1"/>
  <c r="H21" i="5" l="1"/>
  <c r="G21" i="5"/>
  <c r="H20" i="5"/>
  <c r="G20" i="5"/>
  <c r="I9" i="5"/>
  <c r="I10" i="5"/>
  <c r="J9" i="5"/>
  <c r="H9" i="5"/>
  <c r="I8" i="5"/>
  <c r="G7" i="5"/>
  <c r="H8" i="5"/>
  <c r="G10" i="5"/>
  <c r="J7" i="5"/>
  <c r="J8" i="5"/>
  <c r="I7" i="5"/>
  <c r="H10" i="5"/>
</calcChain>
</file>

<file path=xl/sharedStrings.xml><?xml version="1.0" encoding="utf-8"?>
<sst xmlns="http://schemas.openxmlformats.org/spreadsheetml/2006/main" count="183" uniqueCount="51">
  <si>
    <t>Cạnh</t>
  </si>
  <si>
    <t>Độ dài</t>
  </si>
  <si>
    <t>MST</t>
  </si>
  <si>
    <t>Hành động</t>
  </si>
  <si>
    <t>AB</t>
  </si>
  <si>
    <t>AC</t>
  </si>
  <si>
    <t>BD</t>
  </si>
  <si>
    <t>CD</t>
  </si>
  <si>
    <t>AG</t>
  </si>
  <si>
    <t>CE</t>
  </si>
  <si>
    <t>DE</t>
  </si>
  <si>
    <t>CG</t>
  </si>
  <si>
    <t>EF</t>
  </si>
  <si>
    <t>EJ</t>
  </si>
  <si>
    <t>FJ</t>
  </si>
  <si>
    <t>FI</t>
  </si>
  <si>
    <t>FH</t>
  </si>
  <si>
    <t>GH</t>
  </si>
  <si>
    <t>HI</t>
  </si>
  <si>
    <t>JI</t>
  </si>
  <si>
    <t>Đưa vào MST</t>
  </si>
  <si>
    <t>Tạo thành chu trình</t>
  </si>
  <si>
    <t>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</si>
  <si>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</si>
  <si>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</si>
  <si>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</si>
  <si>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</si>
  <si>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</si>
  <si>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</si>
  <si>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</si>
  <si>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</si>
  <si>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</si>
  <si>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</si>
  <si>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DFS</t>
  </si>
  <si>
    <t>BFS</t>
  </si>
  <si>
    <t>∞</t>
  </si>
  <si>
    <t>(11,A)</t>
  </si>
  <si>
    <t>(3,A)</t>
  </si>
  <si>
    <t>(10,A)</t>
  </si>
  <si>
    <t>(5,C)</t>
  </si>
  <si>
    <t>(15,C)</t>
  </si>
  <si>
    <t>(8,C)</t>
  </si>
  <si>
    <t>(9,D)</t>
  </si>
  <si>
    <t>(13,D)</t>
  </si>
  <si>
    <t>(10,H)</t>
  </si>
  <si>
    <t>(15,H)</t>
  </si>
  <si>
    <t>(18,H)</t>
  </si>
  <si>
    <t>(22,E)</t>
  </si>
  <si>
    <t>(16,F)</t>
  </si>
  <si>
    <t>(19,F)</t>
  </si>
  <si>
    <t>(19,I)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</si>
</sst>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3"/>
      <color theme="1"/>
      <name val="OCR A Extended"/>
      <family val="3"/>
    </font>
    <font>
      <sz val="8"/>
      <name val="Arial"/>
      <family val="2"/>
      <scheme val="minor"/>
    </font>
    <font>
      <sz val="13"/>
      <name val="OCR A Extended"/>
      <family val="3"/>
    </font>
    <font>
      <sz val="13"/>
      <color rgb="FFC00000"/>
      <name val="OCR A Extended"/>
      <family val="3"/>
    </font>
    <font>
      <sz val="13"/>
      <color rgb="FFFFC000"/>
      <name val="OCR A Extended"/>
      <family val="3"/>
    </font>
    <font>
      <sz val="13"/>
      <color rgb="FFFF0000"/>
      <name val="OCR A Extended"/>
      <family val="3"/>
    </font>
    <font>
      <sz val="13"/>
      <color rgb="FF00B050"/>
      <name val="OCR A Extended"/>
      <family val="3"/>
    </font>
    <font>
      <sz val="13"/>
      <color theme="3" tint="0.499984740745262"/>
      <name val="OCR A Extended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135354</xdr:colOff>
      <xdr:row>0</xdr:row>
      <xdr:rowOff>53306</xdr:rowOff>
    </xdr:from>
    <xdr:to>
      <xdr:col>16</xdr:col>
      <xdr:colOff>427404</xdr:colOff>
      <xdr:row>10</xdr:row>
      <xdr:rowOff>170880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EE2F4-5B9C-DBC8-8384-EC6D1CF3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5" y="53306"/>
          <a:ext cx="3726063" cy="2122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2</xdr:row>
      <xdr:rowOff>162357</xdr:rowOff>
    </xdr:from>
    <xdr:to>
      <xdr:col>8</xdr:col>
      <xdr:colOff>46889</xdr:colOff>
      <xdr:row>18</xdr:row>
      <xdr:rowOff>50028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054C0-6922-4BA3-B7C2-B1D4C53A7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562840"/>
          <a:ext cx="5426350" cy="309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526801</xdr:colOff>
      <xdr:row>1</xdr:row>
      <xdr:rowOff>47846</xdr:rowOff>
    </xdr:from>
    <xdr:to>
      <xdr:col>10</xdr:col>
      <xdr:colOff>548458</xdr:colOff>
      <xdr:row>12</xdr:row>
      <xdr:rowOff>200825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5BDAE-D588-0B7C-1058-9C116CC8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7443" y="250053"/>
          <a:ext cx="4140289" cy="2377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58533</xdr:colOff>
      <xdr:row>7</xdr:row>
      <xdr:rowOff>47891</xdr:rowOff>
    </xdr:from>
    <xdr:to>
      <xdr:col>10</xdr:col>
      <xdr:colOff>106425</xdr:colOff>
      <xdr:row>7</xdr:row>
      <xdr:rowOff>69176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3363E80-089D-64B9-4628-2D799408ACE9}"/>
            </a:ext>
          </a:extLst>
        </xdr:cNvPr>
        <xdr:cNvCxnSpPr/>
      </xdr:nvCxnSpPr>
      <xdr:spPr>
        <a:xfrm flipH="1">
          <a:off x="6513184" y="1463338"/>
          <a:ext cx="734330" cy="21285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175600</xdr:colOff>
      <xdr:row>7</xdr:row>
      <xdr:rowOff>196886</xdr:rowOff>
    </xdr:from>
    <xdr:to>
      <xdr:col>6</xdr:col>
      <xdr:colOff>462946</xdr:colOff>
      <xdr:row>10</xdr:row>
      <xdr:rowOff>106425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3D36F1E-C0D9-45E4-8591-CC93C687A2F0}"/>
            </a:ext>
          </a:extLst>
        </xdr:cNvPr>
        <xdr:cNvCxnSpPr/>
      </xdr:nvCxnSpPr>
      <xdr:spPr>
        <a:xfrm flipH="1">
          <a:off x="4570935" y="1612333"/>
          <a:ext cx="287346" cy="516159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90461</xdr:colOff>
      <xdr:row>3</xdr:row>
      <xdr:rowOff>0</xdr:rowOff>
    </xdr:from>
    <xdr:to>
      <xdr:col>9</xdr:col>
      <xdr:colOff>21285</xdr:colOff>
      <xdr:row>4</xdr:row>
      <xdr:rowOff>63854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841975F-922F-42F4-807D-05D03A0A177D}"/>
            </a:ext>
          </a:extLst>
        </xdr:cNvPr>
        <xdr:cNvCxnSpPr/>
      </xdr:nvCxnSpPr>
      <xdr:spPr>
        <a:xfrm flipH="1">
          <a:off x="5858673" y="606620"/>
          <a:ext cx="617263" cy="266061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553408</xdr:colOff>
      <xdr:row>3</xdr:row>
      <xdr:rowOff>122388</xdr:rowOff>
    </xdr:from>
    <xdr:to>
      <xdr:col>6</xdr:col>
      <xdr:colOff>329916</xdr:colOff>
      <xdr:row>6</xdr:row>
      <xdr:rowOff>164958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F3A4F96-6787-487A-AC05-1AB311B9C9EE}"/>
            </a:ext>
          </a:extLst>
        </xdr:cNvPr>
        <xdr:cNvCxnSpPr/>
      </xdr:nvCxnSpPr>
      <xdr:spPr>
        <a:xfrm flipH="1" flipV="1">
          <a:off x="4262305" y="729008"/>
          <a:ext cx="462946" cy="649190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542765</xdr:colOff>
      <xdr:row>7</xdr:row>
      <xdr:rowOff>154316</xdr:rowOff>
    </xdr:from>
    <xdr:to>
      <xdr:col>10</xdr:col>
      <xdr:colOff>191565</xdr:colOff>
      <xdr:row>10</xdr:row>
      <xdr:rowOff>164958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DB22688-9FA3-4EB2-96B1-32164C158327}"/>
            </a:ext>
          </a:extLst>
        </xdr:cNvPr>
        <xdr:cNvCxnSpPr/>
      </xdr:nvCxnSpPr>
      <xdr:spPr>
        <a:xfrm flipH="1">
          <a:off x="6997416" y="1569763"/>
          <a:ext cx="335238" cy="617262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367164</xdr:colOff>
      <xdr:row>7</xdr:row>
      <xdr:rowOff>164958</xdr:rowOff>
    </xdr:from>
    <xdr:to>
      <xdr:col>5</xdr:col>
      <xdr:colOff>649190</xdr:colOff>
      <xdr:row>10</xdr:row>
      <xdr:rowOff>21285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F8C1DB7-B162-4731-9CA8-DC01137BEE5A}"/>
            </a:ext>
          </a:extLst>
        </xdr:cNvPr>
        <xdr:cNvCxnSpPr/>
      </xdr:nvCxnSpPr>
      <xdr:spPr>
        <a:xfrm flipH="1" flipV="1">
          <a:off x="4076061" y="1580405"/>
          <a:ext cx="282026" cy="462947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10643</xdr:colOff>
      <xdr:row>5</xdr:row>
      <xdr:rowOff>47891</xdr:rowOff>
    </xdr:from>
    <xdr:to>
      <xdr:col>7</xdr:col>
      <xdr:colOff>462947</xdr:colOff>
      <xdr:row>6</xdr:row>
      <xdr:rowOff>133031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581C7EC7-A77A-466F-9520-3296F8AE6C4D}"/>
            </a:ext>
          </a:extLst>
        </xdr:cNvPr>
        <xdr:cNvCxnSpPr/>
      </xdr:nvCxnSpPr>
      <xdr:spPr>
        <a:xfrm flipH="1">
          <a:off x="5890601" y="1058925"/>
          <a:ext cx="452304" cy="287346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649190</xdr:colOff>
      <xdr:row>3</xdr:row>
      <xdr:rowOff>138352</xdr:rowOff>
    </xdr:from>
    <xdr:to>
      <xdr:col>9</xdr:col>
      <xdr:colOff>175601</xdr:colOff>
      <xdr:row>6</xdr:row>
      <xdr:rowOff>10642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658DB21A-480A-43E0-A855-1889F29BD3FB}"/>
            </a:ext>
          </a:extLst>
        </xdr:cNvPr>
        <xdr:cNvCxnSpPr/>
      </xdr:nvCxnSpPr>
      <xdr:spPr>
        <a:xfrm flipH="1">
          <a:off x="7215587" y="744972"/>
          <a:ext cx="212849" cy="478910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154315</xdr:colOff>
      <xdr:row>7</xdr:row>
      <xdr:rowOff>138352</xdr:rowOff>
    </xdr:from>
    <xdr:to>
      <xdr:col>8</xdr:col>
      <xdr:colOff>425698</xdr:colOff>
      <xdr:row>9</xdr:row>
      <xdr:rowOff>122388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DE5C3522-3ECB-4BF0-9D9B-71D522221F9B}"/>
            </a:ext>
          </a:extLst>
        </xdr:cNvPr>
        <xdr:cNvCxnSpPr/>
      </xdr:nvCxnSpPr>
      <xdr:spPr>
        <a:xfrm flipH="1">
          <a:off x="6720712" y="1553799"/>
          <a:ext cx="271383" cy="388449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97733</xdr:colOff>
      <xdr:row>0</xdr:row>
      <xdr:rowOff>49481</xdr:rowOff>
    </xdr:from>
    <xdr:to>
      <xdr:col>18</xdr:col>
      <xdr:colOff>31746</xdr:colOff>
      <xdr:row>15</xdr:row>
      <xdr:rowOff>172185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1E77E8-31DF-44EF-9AD6-00D85F40A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2466" y="49481"/>
          <a:ext cx="5401799" cy="317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385363</xdr:colOff>
      <xdr:row>3</xdr:row>
      <xdr:rowOff>65439</xdr:rowOff>
    </xdr:from>
    <xdr:to>
      <xdr:col>12</xdr:col>
      <xdr:colOff>319924</xdr:colOff>
      <xdr:row>7</xdr:row>
      <xdr:rowOff>87251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9EF5879-EFC1-4536-8290-B5D7C06984B5}"/>
            </a:ext>
          </a:extLst>
        </xdr:cNvPr>
        <xdr:cNvCxnSpPr/>
      </xdr:nvCxnSpPr>
      <xdr:spPr>
        <a:xfrm flipH="1" flipV="1">
          <a:off x="7903569" y="676202"/>
          <a:ext cx="618034" cy="836164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7271</xdr:colOff>
      <xdr:row>9</xdr:row>
      <xdr:rowOff>7271</xdr:rowOff>
    </xdr:from>
    <xdr:to>
      <xdr:col>12</xdr:col>
      <xdr:colOff>421718</xdr:colOff>
      <xdr:row>12</xdr:row>
      <xdr:rowOff>87252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5E6E252-1B3D-4ED1-B680-1A3E035DFAF4}"/>
            </a:ext>
          </a:extLst>
        </xdr:cNvPr>
        <xdr:cNvCxnSpPr/>
      </xdr:nvCxnSpPr>
      <xdr:spPr>
        <a:xfrm flipV="1">
          <a:off x="8208950" y="1839561"/>
          <a:ext cx="414447" cy="690744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65439</xdr:colOff>
      <xdr:row>9</xdr:row>
      <xdr:rowOff>1</xdr:rowOff>
    </xdr:from>
    <xdr:to>
      <xdr:col>11</xdr:col>
      <xdr:colOff>450802</xdr:colOff>
      <xdr:row>12</xdr:row>
      <xdr:rowOff>58168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92D3831-D4C3-4B83-BF18-886BC52FA9F4}"/>
            </a:ext>
          </a:extLst>
        </xdr:cNvPr>
        <xdr:cNvCxnSpPr/>
      </xdr:nvCxnSpPr>
      <xdr:spPr>
        <a:xfrm flipH="1" flipV="1">
          <a:off x="7583645" y="1832291"/>
          <a:ext cx="385363" cy="668930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50896</xdr:colOff>
      <xdr:row>5</xdr:row>
      <xdr:rowOff>109065</xdr:rowOff>
    </xdr:from>
    <xdr:to>
      <xdr:col>13</xdr:col>
      <xdr:colOff>610763</xdr:colOff>
      <xdr:row>7</xdr:row>
      <xdr:rowOff>87251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869802A-783D-44DF-8B0C-C11057E03FD7}"/>
            </a:ext>
          </a:extLst>
        </xdr:cNvPr>
        <xdr:cNvCxnSpPr/>
      </xdr:nvCxnSpPr>
      <xdr:spPr>
        <a:xfrm flipH="1">
          <a:off x="8936049" y="1127004"/>
          <a:ext cx="559867" cy="385362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356278</xdr:colOff>
      <xdr:row>2</xdr:row>
      <xdr:rowOff>72709</xdr:rowOff>
    </xdr:from>
    <xdr:to>
      <xdr:col>15</xdr:col>
      <xdr:colOff>516241</xdr:colOff>
      <xdr:row>4</xdr:row>
      <xdr:rowOff>43627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A2EF15C-F07E-4816-AF2D-48E8DE1A5CE9}"/>
            </a:ext>
          </a:extLst>
        </xdr:cNvPr>
        <xdr:cNvCxnSpPr/>
      </xdr:nvCxnSpPr>
      <xdr:spPr>
        <a:xfrm flipH="1">
          <a:off x="9924904" y="479885"/>
          <a:ext cx="843436" cy="378093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101794</xdr:colOff>
      <xdr:row>12</xdr:row>
      <xdr:rowOff>174504</xdr:rowOff>
    </xdr:from>
    <xdr:to>
      <xdr:col>14</xdr:col>
      <xdr:colOff>58168</xdr:colOff>
      <xdr:row>13</xdr:row>
      <xdr:rowOff>94523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B209DDE-8FFC-4B06-9D1C-A08EE00EAC5A}"/>
            </a:ext>
          </a:extLst>
        </xdr:cNvPr>
        <xdr:cNvCxnSpPr/>
      </xdr:nvCxnSpPr>
      <xdr:spPr>
        <a:xfrm flipH="1">
          <a:off x="8303473" y="2617557"/>
          <a:ext cx="1323321" cy="123607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421718</xdr:colOff>
      <xdr:row>3</xdr:row>
      <xdr:rowOff>79981</xdr:rowOff>
    </xdr:from>
    <xdr:to>
      <xdr:col>15</xdr:col>
      <xdr:colOff>676203</xdr:colOff>
      <xdr:row>6</xdr:row>
      <xdr:rowOff>130878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BF55B57-A431-4451-84FB-26596BE06638}"/>
            </a:ext>
          </a:extLst>
        </xdr:cNvPr>
        <xdr:cNvCxnSpPr/>
      </xdr:nvCxnSpPr>
      <xdr:spPr>
        <a:xfrm flipH="1">
          <a:off x="10673817" y="690744"/>
          <a:ext cx="254485" cy="661661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530783</xdr:colOff>
      <xdr:row>7</xdr:row>
      <xdr:rowOff>189045</xdr:rowOff>
    </xdr:from>
    <xdr:to>
      <xdr:col>17</xdr:col>
      <xdr:colOff>152691</xdr:colOff>
      <xdr:row>8</xdr:row>
      <xdr:rowOff>7271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8E7D1E9F-7391-4539-A85C-5354AB97E2CA}"/>
            </a:ext>
          </a:extLst>
        </xdr:cNvPr>
        <xdr:cNvCxnSpPr/>
      </xdr:nvCxnSpPr>
      <xdr:spPr>
        <a:xfrm flipH="1">
          <a:off x="10782882" y="1614160"/>
          <a:ext cx="988855" cy="21813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378092</xdr:colOff>
      <xdr:row>8</xdr:row>
      <xdr:rowOff>196317</xdr:rowOff>
    </xdr:from>
    <xdr:to>
      <xdr:col>16</xdr:col>
      <xdr:colOff>239942</xdr:colOff>
      <xdr:row>13</xdr:row>
      <xdr:rowOff>109065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7803959-4170-4755-BC77-B64744C7DB3B}"/>
            </a:ext>
          </a:extLst>
        </xdr:cNvPr>
        <xdr:cNvCxnSpPr/>
      </xdr:nvCxnSpPr>
      <xdr:spPr>
        <a:xfrm>
          <a:off x="10630191" y="1825019"/>
          <a:ext cx="545324" cy="930687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523511</xdr:colOff>
      <xdr:row>9</xdr:row>
      <xdr:rowOff>0</xdr:rowOff>
    </xdr:from>
    <xdr:to>
      <xdr:col>17</xdr:col>
      <xdr:colOff>283569</xdr:colOff>
      <xdr:row>13</xdr:row>
      <xdr:rowOff>36354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E041422A-0B4C-4FAC-8F63-5303A6755705}"/>
            </a:ext>
          </a:extLst>
        </xdr:cNvPr>
        <xdr:cNvCxnSpPr/>
      </xdr:nvCxnSpPr>
      <xdr:spPr>
        <a:xfrm flipH="1">
          <a:off x="11459084" y="1832290"/>
          <a:ext cx="443531" cy="850705"/>
        </a:xfrm>
        <a:prstGeom prst="line">
          <a:avLst/>
        </a:prstGeom>
        <a:ln w="762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1722-7C5B-4DA0-AB33-A2360F074FBB}">
  <dimension ref="A1:M11"/>
  <sheetViews>
    <sheetView zoomScale="190" workbookViewId="0">
      <selection activeCell="B15" sqref="B15"/>
    </sheetView>
  </sheetViews>
  <sheetFormatPr defaultRowHeight="15.75" x14ac:dyDescent="0.2"/>
  <cols>
    <col min="1" max="11" width="3.625" style="1" bestFit="1" customWidth="1"/>
    <col min="12" max="16384" width="9" style="1"/>
  </cols>
  <sheetData>
    <row r="1" spans="1:13" x14ac:dyDescent="0.2">
      <c r="A1" s="5"/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</row>
    <row r="2" spans="1:13" x14ac:dyDescent="0.2">
      <c r="A2" s="4" t="s">
        <v>23</v>
      </c>
      <c r="B2" s="3">
        <v>0</v>
      </c>
      <c r="C2" s="3">
        <v>11</v>
      </c>
      <c r="D2" s="3">
        <v>3</v>
      </c>
      <c r="E2" s="3">
        <v>0</v>
      </c>
      <c r="F2" s="3">
        <v>0</v>
      </c>
      <c r="G2" s="3">
        <v>0</v>
      </c>
      <c r="H2" s="3">
        <v>10</v>
      </c>
      <c r="I2" s="3">
        <v>0</v>
      </c>
      <c r="J2" s="3">
        <v>0</v>
      </c>
      <c r="K2" s="3">
        <v>0</v>
      </c>
    </row>
    <row r="3" spans="1:13" x14ac:dyDescent="0.2">
      <c r="A3" s="4" t="s">
        <v>24</v>
      </c>
      <c r="B3" s="3">
        <v>11</v>
      </c>
      <c r="C3" s="3">
        <v>0</v>
      </c>
      <c r="D3" s="3">
        <v>0</v>
      </c>
      <c r="E3" s="3">
        <v>4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3" x14ac:dyDescent="0.2">
      <c r="A4" s="4" t="s">
        <v>25</v>
      </c>
      <c r="B4" s="3">
        <v>3</v>
      </c>
      <c r="C4" s="3">
        <v>0</v>
      </c>
      <c r="D4" s="3">
        <v>0</v>
      </c>
      <c r="E4" s="3">
        <v>2</v>
      </c>
      <c r="F4" s="3">
        <v>12</v>
      </c>
      <c r="G4" s="3">
        <v>0</v>
      </c>
      <c r="H4" s="3">
        <v>5</v>
      </c>
      <c r="I4" s="3">
        <v>0</v>
      </c>
      <c r="J4" s="3">
        <v>0</v>
      </c>
      <c r="K4" s="3">
        <v>0</v>
      </c>
    </row>
    <row r="5" spans="1:13" x14ac:dyDescent="0.2">
      <c r="A5" s="4" t="s">
        <v>26</v>
      </c>
      <c r="B5" s="3">
        <v>0</v>
      </c>
      <c r="C5" s="3">
        <v>4</v>
      </c>
      <c r="D5" s="3">
        <v>2</v>
      </c>
      <c r="E5" s="3">
        <v>0</v>
      </c>
      <c r="F5" s="3">
        <v>8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 x14ac:dyDescent="0.2">
      <c r="A6" s="4" t="s">
        <v>27</v>
      </c>
      <c r="B6" s="3">
        <v>0</v>
      </c>
      <c r="C6" s="3">
        <v>0</v>
      </c>
      <c r="D6" s="3">
        <v>12</v>
      </c>
      <c r="E6" s="3">
        <v>8</v>
      </c>
      <c r="F6" s="3">
        <v>0</v>
      </c>
      <c r="G6" s="3">
        <v>6</v>
      </c>
      <c r="H6" s="3">
        <v>0</v>
      </c>
      <c r="I6" s="3">
        <v>0</v>
      </c>
      <c r="J6" s="3">
        <v>0</v>
      </c>
      <c r="K6" s="3">
        <v>9</v>
      </c>
    </row>
    <row r="7" spans="1:13" x14ac:dyDescent="0.2">
      <c r="A7" s="4" t="s">
        <v>28</v>
      </c>
      <c r="B7" s="3">
        <v>0</v>
      </c>
      <c r="C7" s="3">
        <v>0</v>
      </c>
      <c r="D7" s="3">
        <v>0</v>
      </c>
      <c r="E7" s="3">
        <v>0</v>
      </c>
      <c r="F7" s="3">
        <v>6</v>
      </c>
      <c r="G7" s="3">
        <v>0</v>
      </c>
      <c r="H7" s="3">
        <v>0</v>
      </c>
      <c r="I7" s="3">
        <v>5</v>
      </c>
      <c r="J7" s="3">
        <v>1</v>
      </c>
      <c r="K7" s="3">
        <v>4</v>
      </c>
    </row>
    <row r="8" spans="1:13" x14ac:dyDescent="0.2">
      <c r="A8" s="4" t="s">
        <v>29</v>
      </c>
      <c r="B8" s="3">
        <v>10</v>
      </c>
      <c r="C8" s="3">
        <v>0</v>
      </c>
      <c r="D8" s="3">
        <v>5</v>
      </c>
      <c r="E8" s="3">
        <v>0</v>
      </c>
      <c r="F8" s="3">
        <v>0</v>
      </c>
      <c r="G8" s="3">
        <v>0</v>
      </c>
      <c r="H8" s="3">
        <v>0</v>
      </c>
      <c r="I8" s="3">
        <v>2</v>
      </c>
      <c r="J8" s="3">
        <v>0</v>
      </c>
      <c r="K8" s="3">
        <v>0</v>
      </c>
      <c r="M8"/>
    </row>
    <row r="9" spans="1:13" x14ac:dyDescent="0.2">
      <c r="A9" s="4" t="s">
        <v>30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5</v>
      </c>
      <c r="H9" s="3">
        <v>2</v>
      </c>
      <c r="I9" s="3">
        <v>0</v>
      </c>
      <c r="J9" s="3">
        <v>8</v>
      </c>
      <c r="K9" s="3">
        <v>0</v>
      </c>
    </row>
    <row r="10" spans="1:13" x14ac:dyDescent="0.2">
      <c r="A10" s="4" t="s">
        <v>31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  <c r="I10" s="3">
        <v>8</v>
      </c>
      <c r="J10" s="3">
        <v>0</v>
      </c>
      <c r="K10" s="3">
        <v>3</v>
      </c>
    </row>
    <row r="11" spans="1:13" x14ac:dyDescent="0.2">
      <c r="A11" s="4" t="s">
        <v>32</v>
      </c>
      <c r="B11" s="3">
        <v>0</v>
      </c>
      <c r="C11" s="3">
        <v>0</v>
      </c>
      <c r="D11" s="3">
        <v>0</v>
      </c>
      <c r="E11" s="3">
        <v>0</v>
      </c>
      <c r="F11" s="3">
        <v>9</v>
      </c>
      <c r="G11" s="3">
        <v>4</v>
      </c>
      <c r="H11" s="3">
        <v>0</v>
      </c>
      <c r="I11" s="3">
        <v>0</v>
      </c>
      <c r="J11" s="3">
        <v>3</v>
      </c>
      <c r="K11" s="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E483-AE9D-492B-B3DB-8C6407EF7F20}">
  <dimension ref="A1:K2"/>
  <sheetViews>
    <sheetView zoomScale="176" workbookViewId="0">
      <selection activeCell="J13" sqref="J13"/>
    </sheetView>
  </sheetViews>
  <sheetFormatPr defaultRowHeight="15.75" x14ac:dyDescent="0.2"/>
  <cols>
    <col min="1" max="16384" width="9" style="2"/>
  </cols>
  <sheetData>
    <row r="1" spans="1:11" x14ac:dyDescent="0.2">
      <c r="A1" s="3" t="s">
        <v>33</v>
      </c>
      <c r="B1" s="3" t="s">
        <v>23</v>
      </c>
      <c r="C1" s="3" t="s">
        <v>24</v>
      </c>
      <c r="D1" s="3" t="s">
        <v>26</v>
      </c>
      <c r="E1" s="3" t="s">
        <v>25</v>
      </c>
      <c r="F1" s="3" t="s">
        <v>27</v>
      </c>
      <c r="G1" s="3" t="s">
        <v>28</v>
      </c>
      <c r="H1" s="3">
        <v>7</v>
      </c>
      <c r="I1" s="3" t="s">
        <v>31</v>
      </c>
      <c r="J1" s="3" t="s">
        <v>30</v>
      </c>
      <c r="K1" s="3" t="s">
        <v>29</v>
      </c>
    </row>
    <row r="2" spans="1:11" x14ac:dyDescent="0.2">
      <c r="A2" s="3" t="s">
        <v>34</v>
      </c>
      <c r="B2" s="3" t="s">
        <v>23</v>
      </c>
      <c r="C2" s="3" t="s">
        <v>24</v>
      </c>
      <c r="D2" s="3" t="s">
        <v>25</v>
      </c>
      <c r="E2" s="3" t="s">
        <v>29</v>
      </c>
      <c r="F2" s="3" t="s">
        <v>26</v>
      </c>
      <c r="G2" s="3" t="s">
        <v>27</v>
      </c>
      <c r="H2" s="3" t="s">
        <v>28</v>
      </c>
      <c r="I2" s="3" t="s">
        <v>32</v>
      </c>
      <c r="J2" s="3" t="s">
        <v>31</v>
      </c>
      <c r="K2" s="3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A366-9AF4-4B88-89D5-51AC90F91E88}">
  <dimension ref="A1:I17"/>
  <sheetViews>
    <sheetView zoomScale="179" workbookViewId="0">
      <selection activeCell="E18" sqref="E18"/>
    </sheetView>
  </sheetViews>
  <sheetFormatPr defaultRowHeight="15.75" x14ac:dyDescent="0.2"/>
  <cols>
    <col min="1" max="1" width="6" style="1" bestFit="1" customWidth="1"/>
    <col min="2" max="2" width="9" style="1"/>
    <col min="3" max="3" width="26.125" style="1" bestFit="1" customWidth="1"/>
    <col min="4" max="16384" width="9" style="1"/>
  </cols>
  <sheetData>
    <row r="1" spans="1:9" x14ac:dyDescent="0.2">
      <c r="A1" s="3" t="s">
        <v>0</v>
      </c>
      <c r="B1" s="3" t="s">
        <v>1</v>
      </c>
      <c r="C1" s="3" t="s">
        <v>3</v>
      </c>
      <c r="D1" s="3" t="s">
        <v>2</v>
      </c>
    </row>
    <row r="2" spans="1:9" x14ac:dyDescent="0.2">
      <c r="A2" s="3" t="s">
        <v>15</v>
      </c>
      <c r="B2" s="3">
        <v>1</v>
      </c>
      <c r="C2" s="3" t="s">
        <v>20</v>
      </c>
      <c r="D2" s="3">
        <v>1</v>
      </c>
    </row>
    <row r="3" spans="1:9" x14ac:dyDescent="0.2">
      <c r="A3" s="3" t="s">
        <v>7</v>
      </c>
      <c r="B3" s="3">
        <v>2</v>
      </c>
      <c r="C3" s="3" t="s">
        <v>20</v>
      </c>
      <c r="D3" s="3">
        <v>2</v>
      </c>
    </row>
    <row r="4" spans="1:9" x14ac:dyDescent="0.2">
      <c r="A4" s="3" t="s">
        <v>17</v>
      </c>
      <c r="B4" s="3">
        <v>2</v>
      </c>
      <c r="C4" s="3" t="s">
        <v>20</v>
      </c>
      <c r="D4" s="3">
        <v>2</v>
      </c>
    </row>
    <row r="5" spans="1:9" x14ac:dyDescent="0.2">
      <c r="A5" s="3" t="s">
        <v>5</v>
      </c>
      <c r="B5" s="3">
        <v>3</v>
      </c>
      <c r="C5" s="3" t="s">
        <v>20</v>
      </c>
      <c r="D5" s="3">
        <v>3</v>
      </c>
    </row>
    <row r="6" spans="1:9" x14ac:dyDescent="0.2">
      <c r="A6" s="3" t="s">
        <v>19</v>
      </c>
      <c r="B6" s="3">
        <v>3</v>
      </c>
      <c r="C6" s="3" t="s">
        <v>20</v>
      </c>
      <c r="D6" s="3">
        <v>3</v>
      </c>
    </row>
    <row r="7" spans="1:9" x14ac:dyDescent="0.2">
      <c r="A7" s="3" t="s">
        <v>6</v>
      </c>
      <c r="B7" s="3">
        <v>4</v>
      </c>
      <c r="C7" s="3" t="s">
        <v>20</v>
      </c>
      <c r="D7" s="3">
        <v>4</v>
      </c>
    </row>
    <row r="8" spans="1:9" x14ac:dyDescent="0.2">
      <c r="A8" s="3" t="s">
        <v>14</v>
      </c>
      <c r="B8" s="3">
        <v>4</v>
      </c>
      <c r="C8" s="3" t="s">
        <v>21</v>
      </c>
      <c r="D8" s="3" t="s">
        <v>22</v>
      </c>
    </row>
    <row r="9" spans="1:9" x14ac:dyDescent="0.2">
      <c r="A9" s="3" t="s">
        <v>11</v>
      </c>
      <c r="B9" s="3">
        <v>5</v>
      </c>
      <c r="C9" s="3" t="s">
        <v>20</v>
      </c>
      <c r="D9" s="3">
        <v>5</v>
      </c>
      <c r="I9"/>
    </row>
    <row r="10" spans="1:9" x14ac:dyDescent="0.2">
      <c r="A10" s="3" t="s">
        <v>16</v>
      </c>
      <c r="B10" s="3">
        <v>5</v>
      </c>
      <c r="C10" s="3" t="s">
        <v>20</v>
      </c>
      <c r="D10" s="3">
        <v>5</v>
      </c>
    </row>
    <row r="11" spans="1:9" x14ac:dyDescent="0.2">
      <c r="A11" s="3" t="s">
        <v>12</v>
      </c>
      <c r="B11" s="3">
        <v>6</v>
      </c>
      <c r="C11" s="3" t="s">
        <v>20</v>
      </c>
      <c r="D11" s="3">
        <v>6</v>
      </c>
    </row>
    <row r="12" spans="1:9" x14ac:dyDescent="0.2">
      <c r="A12" s="3" t="s">
        <v>10</v>
      </c>
      <c r="B12" s="3">
        <v>8</v>
      </c>
      <c r="C12" s="3" t="s">
        <v>21</v>
      </c>
      <c r="D12" s="3" t="s">
        <v>22</v>
      </c>
    </row>
    <row r="13" spans="1:9" x14ac:dyDescent="0.2">
      <c r="A13" s="3" t="s">
        <v>18</v>
      </c>
      <c r="B13" s="3">
        <v>8</v>
      </c>
      <c r="C13" s="3" t="s">
        <v>21</v>
      </c>
      <c r="D13" s="3" t="s">
        <v>22</v>
      </c>
    </row>
    <row r="14" spans="1:9" x14ac:dyDescent="0.2">
      <c r="A14" s="3" t="s">
        <v>13</v>
      </c>
      <c r="B14" s="3">
        <v>9</v>
      </c>
      <c r="C14" s="3" t="s">
        <v>21</v>
      </c>
      <c r="D14" s="3" t="s">
        <v>22</v>
      </c>
    </row>
    <row r="15" spans="1:9" x14ac:dyDescent="0.2">
      <c r="A15" s="3" t="s">
        <v>8</v>
      </c>
      <c r="B15" s="3">
        <v>10</v>
      </c>
      <c r="C15" s="3" t="s">
        <v>21</v>
      </c>
      <c r="D15" s="3" t="s">
        <v>22</v>
      </c>
    </row>
    <row r="16" spans="1:9" x14ac:dyDescent="0.2">
      <c r="A16" s="3" t="s">
        <v>4</v>
      </c>
      <c r="B16" s="3">
        <v>11</v>
      </c>
      <c r="C16" s="3" t="s">
        <v>21</v>
      </c>
      <c r="D16" s="3" t="s">
        <v>22</v>
      </c>
    </row>
    <row r="17" spans="1:4" x14ac:dyDescent="0.2">
      <c r="A17" s="3" t="s">
        <v>9</v>
      </c>
      <c r="B17" s="3">
        <v>12</v>
      </c>
      <c r="C17" s="3" t="s">
        <v>21</v>
      </c>
      <c r="D17" s="3" t="s">
        <v>22</v>
      </c>
    </row>
  </sheetData>
  <sortState xmlns:xlrd2="http://schemas.microsoft.com/office/spreadsheetml/2017/richdata2" ref="A2:D17">
    <sortCondition ref="B1:B1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1F05-63EB-4889-A99B-0D668959550C}">
  <dimension ref="A1:J10"/>
  <sheetViews>
    <sheetView zoomScale="131" zoomScaleNormal="154" workbookViewId="0">
      <selection activeCell="G18" sqref="G18"/>
    </sheetView>
  </sheetViews>
  <sheetFormatPr defaultRowHeight="15.75" x14ac:dyDescent="0.2"/>
  <cols>
    <col min="1" max="16384" width="9" style="2"/>
  </cols>
  <sheetData>
    <row r="1" spans="1:10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</row>
    <row r="2" spans="1:10" x14ac:dyDescent="0.2">
      <c r="A2" s="2">
        <v>0</v>
      </c>
      <c r="B2" s="6" t="s">
        <v>35</v>
      </c>
      <c r="C2" s="6" t="s">
        <v>35</v>
      </c>
      <c r="D2" s="6" t="s">
        <v>35</v>
      </c>
      <c r="E2" s="6" t="s">
        <v>35</v>
      </c>
      <c r="F2" s="6" t="s">
        <v>35</v>
      </c>
      <c r="G2" s="6" t="s">
        <v>35</v>
      </c>
      <c r="H2" s="6" t="s">
        <v>35</v>
      </c>
      <c r="I2" s="6" t="s">
        <v>35</v>
      </c>
      <c r="J2" s="6" t="s">
        <v>35</v>
      </c>
    </row>
    <row r="3" spans="1:10" x14ac:dyDescent="0.2">
      <c r="A3" s="2" t="s">
        <v>22</v>
      </c>
      <c r="B3" s="2" t="s">
        <v>36</v>
      </c>
      <c r="C3" s="7" t="s">
        <v>37</v>
      </c>
      <c r="D3" s="6" t="s">
        <v>35</v>
      </c>
      <c r="E3" s="6" t="s">
        <v>35</v>
      </c>
      <c r="F3" s="6" t="s">
        <v>35</v>
      </c>
      <c r="G3" s="2" t="s">
        <v>38</v>
      </c>
      <c r="H3" s="6" t="s">
        <v>35</v>
      </c>
      <c r="I3" s="6" t="s">
        <v>35</v>
      </c>
      <c r="J3" s="6" t="s">
        <v>35</v>
      </c>
    </row>
    <row r="4" spans="1:10" x14ac:dyDescent="0.2">
      <c r="A4" s="2" t="s">
        <v>22</v>
      </c>
      <c r="B4" s="2" t="s">
        <v>36</v>
      </c>
      <c r="C4" s="2" t="s">
        <v>22</v>
      </c>
      <c r="D4" s="7" t="s">
        <v>39</v>
      </c>
      <c r="E4" s="6" t="s">
        <v>40</v>
      </c>
      <c r="F4" s="6" t="s">
        <v>35</v>
      </c>
      <c r="G4" s="2" t="s">
        <v>41</v>
      </c>
      <c r="H4" s="6" t="s">
        <v>35</v>
      </c>
      <c r="I4" s="6" t="s">
        <v>35</v>
      </c>
      <c r="J4" s="6" t="s">
        <v>35</v>
      </c>
    </row>
    <row r="5" spans="1:10" x14ac:dyDescent="0.2">
      <c r="A5" s="2" t="s">
        <v>22</v>
      </c>
      <c r="B5" s="2" t="s">
        <v>42</v>
      </c>
      <c r="C5" s="2" t="s">
        <v>22</v>
      </c>
      <c r="D5" s="2" t="s">
        <v>22</v>
      </c>
      <c r="E5" s="6" t="s">
        <v>43</v>
      </c>
      <c r="F5" s="6" t="s">
        <v>35</v>
      </c>
      <c r="G5" s="7" t="s">
        <v>41</v>
      </c>
      <c r="H5" s="6" t="s">
        <v>35</v>
      </c>
      <c r="I5" s="6" t="s">
        <v>35</v>
      </c>
      <c r="J5" s="6" t="s">
        <v>35</v>
      </c>
    </row>
    <row r="6" spans="1:10" x14ac:dyDescent="0.2">
      <c r="A6" s="2" t="s">
        <v>22</v>
      </c>
      <c r="B6" s="7" t="s">
        <v>42</v>
      </c>
      <c r="C6" s="2" t="s">
        <v>22</v>
      </c>
      <c r="D6" s="2" t="s">
        <v>22</v>
      </c>
      <c r="E6" s="6" t="s">
        <v>43</v>
      </c>
      <c r="F6" s="6" t="s">
        <v>35</v>
      </c>
      <c r="G6" s="2" t="s">
        <v>22</v>
      </c>
      <c r="H6" s="7" t="s">
        <v>44</v>
      </c>
      <c r="I6" s="6" t="s">
        <v>35</v>
      </c>
      <c r="J6" s="6" t="s">
        <v>35</v>
      </c>
    </row>
    <row r="7" spans="1:10" x14ac:dyDescent="0.2">
      <c r="A7" s="2" t="s">
        <v>22</v>
      </c>
      <c r="B7" s="2" t="s">
        <v>22</v>
      </c>
      <c r="C7" s="2" t="s">
        <v>22</v>
      </c>
      <c r="D7" s="2" t="s">
        <v>22</v>
      </c>
      <c r="E7" s="7" t="s">
        <v>43</v>
      </c>
      <c r="F7" s="6" t="s">
        <v>45</v>
      </c>
      <c r="G7" s="2" t="s">
        <v>22</v>
      </c>
      <c r="H7" s="2" t="s">
        <v>22</v>
      </c>
      <c r="I7" s="2" t="s">
        <v>46</v>
      </c>
      <c r="J7" s="6" t="s">
        <v>35</v>
      </c>
    </row>
    <row r="8" spans="1:10" x14ac:dyDescent="0.2">
      <c r="A8" s="2" t="s">
        <v>22</v>
      </c>
      <c r="B8" s="2" t="s">
        <v>22</v>
      </c>
      <c r="C8" s="2" t="s">
        <v>22</v>
      </c>
      <c r="D8" s="2" t="s">
        <v>22</v>
      </c>
      <c r="E8" s="2" t="s">
        <v>22</v>
      </c>
      <c r="F8" s="7" t="s">
        <v>45</v>
      </c>
      <c r="G8" s="2" t="s">
        <v>22</v>
      </c>
      <c r="H8" s="2" t="s">
        <v>22</v>
      </c>
      <c r="I8" s="2" t="s">
        <v>46</v>
      </c>
      <c r="J8" s="2" t="s">
        <v>47</v>
      </c>
    </row>
    <row r="9" spans="1:10" x14ac:dyDescent="0.2">
      <c r="A9" s="2" t="s">
        <v>22</v>
      </c>
      <c r="B9" s="2" t="s">
        <v>22</v>
      </c>
      <c r="C9" s="2" t="s">
        <v>22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22</v>
      </c>
      <c r="I9" s="7" t="s">
        <v>48</v>
      </c>
      <c r="J9" s="7" t="s">
        <v>49</v>
      </c>
    </row>
    <row r="10" spans="1:10" x14ac:dyDescent="0.2">
      <c r="A10" s="2" t="s">
        <v>22</v>
      </c>
      <c r="B10" s="2" t="s">
        <v>22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7" t="s">
        <v>50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C435-748E-4720-957F-0DD3F30B8BF5}">
  <dimension ref="A1:N29"/>
  <sheetViews>
    <sheetView tabSelected="1" zoomScale="122" zoomScaleNormal="122" workbookViewId="0">
      <selection activeCell="O7" sqref="O7"/>
    </sheetView>
  </sheetViews>
  <sheetFormatPr defaultRowHeight="15.75" x14ac:dyDescent="0.2"/>
  <cols>
    <col min="1" max="16384" width="9" style="2"/>
  </cols>
  <sheetData>
    <row r="1" spans="1:14" x14ac:dyDescent="0.2">
      <c r="A1" s="2">
        <v>37</v>
      </c>
      <c r="B1" s="11">
        <v>54</v>
      </c>
      <c r="C1" s="2">
        <v>75</v>
      </c>
      <c r="D1" s="2">
        <v>39</v>
      </c>
      <c r="F1" s="8"/>
      <c r="K1" s="6"/>
      <c r="L1" s="12"/>
      <c r="M1" s="6"/>
      <c r="N1" s="6"/>
    </row>
    <row r="2" spans="1:14" x14ac:dyDescent="0.2">
      <c r="A2" s="11">
        <v>46</v>
      </c>
      <c r="B2" s="2">
        <v>99</v>
      </c>
      <c r="C2" s="2">
        <v>91</v>
      </c>
      <c r="D2" s="2">
        <v>96</v>
      </c>
      <c r="K2" s="12"/>
      <c r="L2" s="6"/>
      <c r="M2" s="6"/>
      <c r="N2" s="6"/>
    </row>
    <row r="3" spans="1:14" x14ac:dyDescent="0.2">
      <c r="A3" s="2">
        <v>4</v>
      </c>
      <c r="B3" s="2">
        <v>97</v>
      </c>
      <c r="C3" s="2">
        <v>23</v>
      </c>
      <c r="D3" s="11">
        <v>1</v>
      </c>
      <c r="I3" s="8"/>
      <c r="K3" s="6"/>
      <c r="L3" s="6"/>
      <c r="M3" s="6"/>
      <c r="N3" s="12"/>
    </row>
    <row r="4" spans="1:14" x14ac:dyDescent="0.2">
      <c r="A4" s="2">
        <v>52</v>
      </c>
      <c r="B4" s="2">
        <v>50</v>
      </c>
      <c r="C4" s="11">
        <v>51</v>
      </c>
      <c r="D4" s="2">
        <v>71</v>
      </c>
      <c r="G4" s="8"/>
      <c r="H4" s="8"/>
      <c r="K4" s="6"/>
      <c r="L4" s="6"/>
      <c r="M4" s="12"/>
      <c r="N4" s="6"/>
    </row>
    <row r="7" spans="1:14" x14ac:dyDescent="0.2">
      <c r="A7" s="2">
        <v>37</v>
      </c>
      <c r="B7" s="2">
        <v>54</v>
      </c>
      <c r="C7" s="2">
        <v>75</v>
      </c>
      <c r="D7" s="2">
        <v>39</v>
      </c>
      <c r="E7" s="13">
        <f>MIN(A7:D7)</f>
        <v>37</v>
      </c>
      <c r="G7" s="2">
        <f>A7-$E7</f>
        <v>0</v>
      </c>
      <c r="H7" s="2">
        <f>B7-$E7</f>
        <v>17</v>
      </c>
      <c r="I7" s="2">
        <f>C7-$E7</f>
        <v>38</v>
      </c>
      <c r="J7" s="2">
        <f>D7-$E7</f>
        <v>2</v>
      </c>
    </row>
    <row r="8" spans="1:14" x14ac:dyDescent="0.2">
      <c r="A8" s="2">
        <v>46</v>
      </c>
      <c r="B8" s="2">
        <v>99</v>
      </c>
      <c r="C8" s="2">
        <v>91</v>
      </c>
      <c r="D8" s="2">
        <v>96</v>
      </c>
      <c r="E8" s="13">
        <f>MIN(A8:D8)</f>
        <v>46</v>
      </c>
      <c r="G8" s="2">
        <f>A8-$E8</f>
        <v>0</v>
      </c>
      <c r="H8" s="2">
        <f>B8-$E8</f>
        <v>53</v>
      </c>
      <c r="I8" s="2">
        <f>C8-$E8</f>
        <v>45</v>
      </c>
      <c r="J8" s="2">
        <f>D8-$E8</f>
        <v>50</v>
      </c>
    </row>
    <row r="9" spans="1:14" x14ac:dyDescent="0.2">
      <c r="A9" s="2">
        <v>4</v>
      </c>
      <c r="B9" s="2">
        <v>97</v>
      </c>
      <c r="C9" s="2">
        <v>23</v>
      </c>
      <c r="D9" s="2">
        <v>1</v>
      </c>
      <c r="E9" s="13">
        <f>MIN(A9:D9)</f>
        <v>1</v>
      </c>
      <c r="G9" s="2">
        <f>A9-$E9</f>
        <v>3</v>
      </c>
      <c r="H9" s="2">
        <f>B9-$E9</f>
        <v>96</v>
      </c>
      <c r="I9" s="2">
        <f>C9-$E9</f>
        <v>22</v>
      </c>
      <c r="J9" s="2">
        <f>D9-$E9</f>
        <v>0</v>
      </c>
    </row>
    <row r="10" spans="1:14" x14ac:dyDescent="0.2">
      <c r="A10" s="2">
        <v>52</v>
      </c>
      <c r="B10" s="2">
        <v>50</v>
      </c>
      <c r="C10" s="2">
        <v>51</v>
      </c>
      <c r="D10" s="2">
        <v>71</v>
      </c>
      <c r="E10" s="13">
        <f>MIN(A10:D10)</f>
        <v>50</v>
      </c>
      <c r="G10" s="2">
        <f>A10-$E10</f>
        <v>2</v>
      </c>
      <c r="H10" s="2">
        <f>B10-$E10</f>
        <v>0</v>
      </c>
      <c r="I10" s="2">
        <f>C10-$E10</f>
        <v>1</v>
      </c>
      <c r="J10" s="2">
        <f>D10-$E10</f>
        <v>21</v>
      </c>
    </row>
    <row r="13" spans="1:14" x14ac:dyDescent="0.2">
      <c r="A13" s="2">
        <v>0</v>
      </c>
      <c r="B13" s="2">
        <v>17</v>
      </c>
      <c r="C13" s="2">
        <v>38</v>
      </c>
      <c r="D13" s="2">
        <v>2</v>
      </c>
      <c r="F13" s="10">
        <v>0</v>
      </c>
      <c r="G13" s="2">
        <v>17</v>
      </c>
      <c r="H13" s="2">
        <v>37</v>
      </c>
      <c r="I13" s="10">
        <v>2</v>
      </c>
    </row>
    <row r="14" spans="1:14" x14ac:dyDescent="0.2">
      <c r="A14" s="2">
        <v>0</v>
      </c>
      <c r="B14" s="2">
        <v>53</v>
      </c>
      <c r="C14" s="2">
        <v>45</v>
      </c>
      <c r="D14" s="2">
        <v>50</v>
      </c>
      <c r="F14" s="10">
        <v>0</v>
      </c>
      <c r="G14" s="2">
        <v>53</v>
      </c>
      <c r="H14" s="2">
        <v>44</v>
      </c>
      <c r="I14" s="10">
        <v>50</v>
      </c>
    </row>
    <row r="15" spans="1:14" x14ac:dyDescent="0.2">
      <c r="A15" s="2">
        <v>3</v>
      </c>
      <c r="B15" s="2">
        <v>96</v>
      </c>
      <c r="C15" s="2">
        <v>22</v>
      </c>
      <c r="D15" s="2">
        <v>0</v>
      </c>
      <c r="F15" s="10">
        <v>3</v>
      </c>
      <c r="G15" s="2">
        <v>96</v>
      </c>
      <c r="H15" s="2">
        <v>21</v>
      </c>
      <c r="I15" s="10">
        <v>0</v>
      </c>
    </row>
    <row r="16" spans="1:14" x14ac:dyDescent="0.2">
      <c r="A16" s="2">
        <v>2</v>
      </c>
      <c r="B16" s="2">
        <v>0</v>
      </c>
      <c r="C16" s="2">
        <v>1</v>
      </c>
      <c r="D16" s="2">
        <v>21</v>
      </c>
      <c r="F16" s="9">
        <v>2</v>
      </c>
      <c r="G16" s="10">
        <v>0</v>
      </c>
      <c r="H16" s="10">
        <v>0</v>
      </c>
      <c r="I16" s="9">
        <v>21</v>
      </c>
    </row>
    <row r="17" spans="1:14" x14ac:dyDescent="0.2">
      <c r="A17" s="13">
        <f>MIN(A13:A16)</f>
        <v>0</v>
      </c>
      <c r="B17" s="13">
        <f>MIN(B13:B16)</f>
        <v>0</v>
      </c>
      <c r="C17" s="13">
        <f>MIN(C13:C16)</f>
        <v>1</v>
      </c>
      <c r="D17" s="13">
        <f>MIN(D13:D16)</f>
        <v>0</v>
      </c>
      <c r="F17"/>
      <c r="G17"/>
      <c r="H17"/>
      <c r="I17"/>
    </row>
    <row r="18" spans="1:14" x14ac:dyDescent="0.2">
      <c r="A18"/>
      <c r="B18"/>
      <c r="C18"/>
      <c r="D18"/>
      <c r="E18"/>
      <c r="F18"/>
      <c r="G18"/>
      <c r="H18"/>
      <c r="I18"/>
    </row>
    <row r="19" spans="1:14" x14ac:dyDescent="0.2">
      <c r="A19"/>
      <c r="B19"/>
      <c r="C19"/>
      <c r="D19"/>
      <c r="E19"/>
      <c r="F19"/>
      <c r="G19"/>
      <c r="H19"/>
      <c r="I19"/>
    </row>
    <row r="20" spans="1:14" x14ac:dyDescent="0.2">
      <c r="A20" s="10">
        <v>0</v>
      </c>
      <c r="B20" s="2">
        <v>17</v>
      </c>
      <c r="C20" s="2">
        <v>37</v>
      </c>
      <c r="D20" s="10">
        <v>2</v>
      </c>
      <c r="E20" s="13">
        <f>MIN(B20:C22)</f>
        <v>17</v>
      </c>
      <c r="F20" s="10">
        <v>0</v>
      </c>
      <c r="G20" s="2">
        <f>B20-$E$20</f>
        <v>0</v>
      </c>
      <c r="H20" s="2">
        <f>C20-$E$20</f>
        <v>20</v>
      </c>
      <c r="I20" s="10">
        <v>2</v>
      </c>
      <c r="K20" s="2">
        <v>0</v>
      </c>
      <c r="L20" s="11">
        <v>0</v>
      </c>
      <c r="M20" s="2">
        <v>20</v>
      </c>
      <c r="N20" s="2">
        <v>2</v>
      </c>
    </row>
    <row r="21" spans="1:14" x14ac:dyDescent="0.2">
      <c r="A21" s="10">
        <v>0</v>
      </c>
      <c r="B21" s="2">
        <v>53</v>
      </c>
      <c r="C21" s="2">
        <v>44</v>
      </c>
      <c r="D21" s="10">
        <v>50</v>
      </c>
      <c r="F21" s="10">
        <v>0</v>
      </c>
      <c r="G21" s="2">
        <f>B21-$E$20</f>
        <v>36</v>
      </c>
      <c r="H21" s="2">
        <f>C21-$E$20</f>
        <v>27</v>
      </c>
      <c r="I21" s="10">
        <v>50</v>
      </c>
      <c r="K21" s="11">
        <v>0</v>
      </c>
      <c r="L21" s="2">
        <v>36</v>
      </c>
      <c r="M21" s="2">
        <v>27</v>
      </c>
      <c r="N21" s="2">
        <v>50</v>
      </c>
    </row>
    <row r="22" spans="1:14" x14ac:dyDescent="0.2">
      <c r="A22" s="10">
        <v>3</v>
      </c>
      <c r="B22" s="2">
        <v>96</v>
      </c>
      <c r="C22" s="2">
        <v>21</v>
      </c>
      <c r="D22" s="10">
        <v>0</v>
      </c>
      <c r="F22" s="10">
        <v>3</v>
      </c>
      <c r="G22" s="2">
        <f>B22-$E$20</f>
        <v>79</v>
      </c>
      <c r="H22" s="2">
        <f>C22-$E$20</f>
        <v>4</v>
      </c>
      <c r="I22" s="10">
        <v>0</v>
      </c>
      <c r="K22" s="2">
        <v>3</v>
      </c>
      <c r="L22" s="2">
        <v>79</v>
      </c>
      <c r="M22" s="2">
        <v>4</v>
      </c>
      <c r="N22" s="11">
        <v>0</v>
      </c>
    </row>
    <row r="23" spans="1:14" x14ac:dyDescent="0.2">
      <c r="A23" s="9">
        <v>2</v>
      </c>
      <c r="B23" s="10">
        <v>0</v>
      </c>
      <c r="C23" s="10">
        <v>0</v>
      </c>
      <c r="D23" s="9">
        <v>21</v>
      </c>
      <c r="F23" s="9">
        <f>A23+E20</f>
        <v>19</v>
      </c>
      <c r="G23" s="10">
        <v>0</v>
      </c>
      <c r="H23" s="10">
        <v>0</v>
      </c>
      <c r="I23" s="9">
        <f>D23+E20</f>
        <v>38</v>
      </c>
      <c r="K23" s="2">
        <v>19</v>
      </c>
      <c r="L23" s="2">
        <v>0</v>
      </c>
      <c r="M23" s="11">
        <v>0</v>
      </c>
      <c r="N23" s="2">
        <v>38</v>
      </c>
    </row>
    <row r="24" spans="1:14" x14ac:dyDescent="0.2">
      <c r="A24"/>
      <c r="B24"/>
      <c r="C24"/>
      <c r="D24"/>
      <c r="E24"/>
      <c r="F24"/>
      <c r="G24"/>
      <c r="H24"/>
      <c r="I24"/>
    </row>
    <row r="25" spans="1:14" x14ac:dyDescent="0.2">
      <c r="A25"/>
      <c r="B25"/>
      <c r="C25"/>
      <c r="D25"/>
      <c r="E25"/>
      <c r="F25"/>
      <c r="G25"/>
      <c r="H25"/>
      <c r="I25"/>
    </row>
    <row r="26" spans="1:14" x14ac:dyDescent="0.2">
      <c r="A26"/>
      <c r="B26"/>
      <c r="C26"/>
      <c r="D26"/>
      <c r="E26"/>
      <c r="F26"/>
      <c r="G26"/>
      <c r="H26"/>
      <c r="I26"/>
    </row>
    <row r="27" spans="1:14" x14ac:dyDescent="0.2">
      <c r="A27"/>
      <c r="B27"/>
      <c r="C27"/>
      <c r="D27"/>
      <c r="E27"/>
      <c r="F27"/>
      <c r="G27"/>
      <c r="H27"/>
      <c r="I27"/>
    </row>
    <row r="28" spans="1:14" x14ac:dyDescent="0.2">
      <c r="A28"/>
      <c r="B28"/>
      <c r="C28"/>
      <c r="D28"/>
      <c r="E28"/>
      <c r="F28"/>
      <c r="G28"/>
      <c r="H28"/>
      <c r="I28"/>
    </row>
    <row r="29" spans="1:14" x14ac:dyDescent="0.2">
      <c r="A29"/>
      <c r="B29"/>
      <c r="C29"/>
      <c r="D29"/>
      <c r="E29"/>
      <c r="F29"/>
      <c r="G29"/>
      <c r="H29"/>
      <c r="I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MST</vt:lpstr>
      <vt:lpstr>DFS &amp; BFS</vt:lpstr>
      <vt:lpstr>Kruskal</vt:lpstr>
      <vt:lpstr>Dijkstra</vt:lpstr>
      <vt:lpstr>Hungarian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Natsuki Tsubaki</dc:creator>
  <cp:lastModifiedBy>Natsuki Tsubaki</cp:lastModifiedBy>
  <dcterms:created xsi:type="dcterms:W3CDTF">2024-12-18T03:36:16Z</dcterms:created>
  <dcterms:modified xsi:type="dcterms:W3CDTF">2024-12-18T06:27:38Z</dcterms:modified>
</cp:coreProperties>
</file>